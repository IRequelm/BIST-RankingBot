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c079f622c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8b660af5c2406c"/>
    <x:sheet xmlns:r="http://schemas.openxmlformats.org/officeDocument/2006/relationships" name="Recommendations" sheetId="2" r:id="Ra61411ff32d34f4d"/>
    <x:sheet xmlns:r="http://schemas.openxmlformats.org/officeDocument/2006/relationships" name="Policy Metrics" sheetId="3" r:id="Ra1336b4f88b746ac"/>
    <x:sheet xmlns:r="http://schemas.openxmlformats.org/officeDocument/2006/relationships" name="Audit Notes" sheetId="4" r:id="Ra0905b492c38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.00%"/>
    <x:numFmt numFmtId="203" formatCode="0.0%"/>
    <x:numFmt numFmtId="204" formatCode="0.0000"/>
    <x:numFmt numFmtId="205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</x:fills>
  <x:borders count="24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AAB7C4"/>
      </x:left>
      <x:right style="thin">
        <x:color rgb="FFD7DEE8"/>
      </x:right>
      <x:top style="thin">
        <x:color rgb="FFAAB7C4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AAB7C4"/>
      </x:top>
      <x:bottom style="thin">
        <x:color rgb="FFD7DEE8"/>
      </x:bottom>
    </x:border>
    <x:border>
      <x:left style="thin">
        <x:color rgb="FFD7DEE8"/>
      </x:left>
      <x:right style="thin">
        <x:color rgb="FFAAB7C4"/>
      </x:right>
      <x:top style="thin">
        <x:color rgb="FFAAB7C4"/>
      </x:top>
      <x:bottom style="thin">
        <x:color rgb="FFD7DEE8"/>
      </x:bottom>
    </x:border>
    <x:border>
      <x:left style="thin">
        <x:color rgb="FFAAB7C4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AAB7C4"/>
      </x:right>
      <x:top style="thin">
        <x:color rgb="FFD7DEE8"/>
      </x:top>
      <x:bottom style="thin">
        <x:color rgb="FFD7DEE8"/>
      </x:bottom>
    </x:border>
    <x:border>
      <x:left style="thin">
        <x:color rgb="FFAAB7C4"/>
      </x:left>
      <x:right style="thin">
        <x:color rgb="FFD7DEE8"/>
      </x:right>
      <x:top style="thin">
        <x:color rgb="FFD7DEE8"/>
      </x:top>
      <x:bottom style="thin">
        <x:color rgb="FFAAB7C4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AAB7C4"/>
      </x:bottom>
    </x:border>
    <x:border>
      <x:left style="thin">
        <x:color rgb="FFD7DEE8"/>
      </x:left>
      <x:right style="thin">
        <x:color rgb="FFAAB7C4"/>
      </x:right>
      <x:top style="thin">
        <x:color rgb="FFD7DEE8"/>
      </x:top>
      <x:bottom style="thin">
        <x:color rgb="FFAAB7C4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2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2" borderId="16" xfId="0" applyNumberFormat="1" applyFont="1" applyFill="1" applyBorder="1" applyAlignment="1">
      <x:alignment wrapText="1"/>
    </x:xf>
    <x:xf numFmtId="0" fontId="3" fillId="2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3" fontId="0" fillId="0" borderId="11" xfId="0" applyNumberFormat="1" applyFont="1" applyFill="1" applyBorder="1"/>
    <x:xf numFmtId="203" fontId="0" fillId="0" borderId="22" xfId="0" applyNumberFormat="1" applyFont="1" applyFill="1" applyBorder="1"/>
    <x:xf numFmtId="204" fontId="0" fillId="0" borderId="11" xfId="0" applyNumberFormat="1" applyFont="1" applyFill="1" applyBorder="1"/>
    <x:xf numFmtId="204" fontId="0" fillId="0" borderId="22" xfId="0" applyNumberFormat="1" applyFont="1" applyFill="1" applyBorder="1"/>
    <x:xf numFmtId="205" fontId="0" fillId="0" borderId="11" xfId="0" applyNumberFormat="1" applyFont="1" applyFill="1" applyBorder="1"/>
    <x:xf numFmtId="205" fontId="0" fillId="0" borderId="22" xfId="0" applyNumberFormat="1" applyFont="1" applyFill="1" applyBorder="1"/>
    <x:xf numFmtId="203" fontId="0" fillId="0" borderId="20" xfId="0" applyNumberFormat="1" applyFont="1" applyFill="1" applyBorder="1"/>
    <x:xf numFmtId="203" fontId="0" fillId="0" borderId="23" xfId="0" applyNumberFormat="1" applyFont="1" applyFill="1" applyBorder="1"/>
    <x:xf numFmtId="203" fontId="0" fillId="0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16" xfId="0" applyNumberFormat="1" applyFont="1" applyFill="1" applyBorder="1"/>
    <x:xf numFmtId="0" fontId="3" fillId="2" borderId="17" xfId="0" applyNumberFormat="1" applyFont="1" applyFill="1" applyBorder="1"/>
    <x:xf numFmtId="0" fontId="3" fillId="2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85f827e4a41af" /><Relationship Type="http://schemas.openxmlformats.org/officeDocument/2006/relationships/theme" Target="/xl/theme/theme1.xml" Id="R9eafb379e2484baf" /><Relationship Type="http://schemas.openxmlformats.org/officeDocument/2006/relationships/sharedStrings" Target="/xl/sharedStrings.xml" Id="R1e7fd4fba68d4964" /><Relationship Type="http://schemas.openxmlformats.org/officeDocument/2006/relationships/worksheet" Target="/xl/worksheets/sheet1.xml" Id="R318b660af5c2406c" /><Relationship Type="http://schemas.openxmlformats.org/officeDocument/2006/relationships/worksheet" Target="/xl/worksheets/sheet2.xml" Id="Ra61411ff32d34f4d" /><Relationship Type="http://schemas.openxmlformats.org/officeDocument/2006/relationships/worksheet" Target="/xl/worksheets/sheet3.xml" Id="Ra1336b4f88b746ac" /><Relationship Type="http://schemas.openxmlformats.org/officeDocument/2006/relationships/worksheet" Target="/xl/worksheets/sheet4.xml" Id="Ra0905b492c38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4" hidden="0" customWidth="1"/>
    <x:col min="4" max="4" width="40" hidden="0" customWidth="1"/>
    <x:col min="5" max="5" width="72" hidden="0" customWidth="1"/>
  </x:cols>
  <x:sheetData>
    <x:row r="1">
      <x:c r="A1" s="2" t="str">
        <x:v>BIST100 Survival Recommendations - 2026-06-01</x:v>
      </x:c>
    </x:row>
    <x:row r="3">
      <x:c r="A3" s="15" t="str">
        <x:v>Selected policy</x:v>
      </x:c>
      <x:c r="B3" s="16" t="str">
        <x:v>RS_TOP5_NO_CASH</x:v>
      </x:c>
      <x:c r="C3" s="17"/>
      <x:c r="D3" s="15" t="str">
        <x:v>Buy list</x:v>
      </x:c>
      <x:c r="E3" s="16" t="str">
        <x:v>YEOTK.IS, EUPWR.IS, GESAN.IS, SMRTG.IS, ASTOR.IS</x:v>
      </x:c>
    </x:row>
    <x:row r="4">
      <x:c r="A4" s="18" t="str">
        <x:v>Policy name</x:v>
      </x:c>
      <x:c r="B4" s="19" t="str">
        <x:v>Survival Top5 without MA200 cash filter</x:v>
      </x:c>
      <x:c r="C4" s="17"/>
      <x:c r="D4" s="18" t="str">
        <x:v>Cash mode</x:v>
      </x:c>
      <x:c r="E4" s="19" t="str">
        <x:v>OFF</x:v>
      </x:c>
    </x:row>
    <x:row r="5">
      <x:c r="A5" s="18" t="str">
        <x:v>Signal date</x:v>
      </x:c>
      <x:c r="B5" s="20" t="n">
        <x:v>46174.5</x:v>
      </x:c>
      <x:c r="C5" s="17"/>
      <x:c r="D5" s="18" t="str">
        <x:v>BIST100 MA200 cash filter</x:v>
      </x:c>
      <x:c r="E5" s="19" t="str">
        <x:v>NOT USED</x:v>
      </x:c>
    </x:row>
    <x:row r="6">
      <x:c r="A6" s="18" t="str">
        <x:v>Holding window in backtest</x:v>
      </x:c>
      <x:c r="B6" s="19" t="str">
        <x:v>2026-06-01 to 2026-06-22</x:v>
      </x:c>
      <x:c r="C6" s="17"/>
      <x:c r="D6" s="18" t="str">
        <x:v>Risk style</x:v>
      </x:c>
      <x:c r="E6" s="19" t="str">
        <x:v>Aggressive relative-strength Top5</x:v>
      </x:c>
    </x:row>
    <x:row r="7">
      <x:c r="A7" s="18" t="str">
        <x:v>Portfolio size</x:v>
      </x:c>
      <x:c r="B7" s="21" t="n">
        <x:v>5</x:v>
      </x:c>
      <x:c r="C7" s="17"/>
      <x:c r="D7" s="18" t="str">
        <x:v>Missing tickers excluded</x:v>
      </x:c>
      <x:c r="E7" s="19" t="str">
        <x:v>IPEKE.IS, KOZAA.IS, KOZAL.IS</x:v>
      </x:c>
    </x:row>
    <x:row r="8">
      <x:c r="A8" s="18" t="str">
        <x:v>Equal weight</x:v>
      </x:c>
      <x:c r="B8" s="22" t="n">
        <x:v>0.2</x:v>
      </x:c>
      <x:c r="C8" s="17"/>
      <x:c r="D8" s="18" t="str">
        <x:v>No substitution</x:v>
      </x:c>
      <x:c r="E8" s="19" t="str">
        <x:v>TRUE</x:v>
      </x:c>
    </x:row>
    <x:row r="9">
      <x:c r="A9" s="18" t="str">
        <x:v>Transaction cost impact</x:v>
      </x:c>
      <x:c r="B9" s="22" t="n">
        <x:v>0.0024000000000000002</x:v>
      </x:c>
      <x:c r="C9" s="17"/>
      <x:c r="D9" s="23" t="str">
        <x:v>Forward returns known on 2026-06-01?</x:v>
      </x:c>
      <x:c r="E9" s="24" t="str">
        <x:v>NO</x:v>
      </x:c>
    </x:row>
    <x:row r="10">
      <x:c r="A10" s="18" t="str">
        <x:v>Realized gross return to latest cached date</x:v>
      </x:c>
      <x:c r="B10" s="22" t="n">
        <x:v>0.08548244960682108</x:v>
      </x:c>
      <x:c r="C10" s="17"/>
      <x:c r="D10" s="17"/>
      <x:c r="E10" s="17"/>
    </x:row>
    <x:row r="11">
      <x:c r="A11" s="18" t="str">
        <x:v>Realized net return to latest cached date</x:v>
      </x:c>
      <x:c r="B11" s="22" t="n">
        <x:f>'Recommendations'!M8</x:f>
        <x:v>0.08308244960682108</x:v>
      </x:c>
      <x:c r="C11" s="17"/>
      <x:c r="D11" s="17"/>
      <x:c r="E11" s="17"/>
    </x:row>
    <x:row r="12">
      <x:c r="A12" s="18" t="str">
        <x:v>BIST100 return over same window</x:v>
      </x:c>
      <x:c r="B12" s="22" t="n">
        <x:v>0.07484677432227826</x:v>
      </x:c>
      <x:c r="C12" s="17"/>
      <x:c r="D12" s="17"/>
      <x:c r="E12" s="17"/>
    </x:row>
    <x:row r="13">
      <x:c r="A13" s="23" t="str">
        <x:v>Excess return over BIST100</x:v>
      </x:c>
      <x:c r="B13" s="25" t="n">
        <x:f>B11-B12</x:f>
        <x:v>0.008235675284542818</x:v>
      </x:c>
      <x:c r="C13" s="17"/>
      <x:c r="D13" s="17"/>
      <x:c r="E13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20" hidden="0" customWidth="1"/>
  </x:cols>
  <x:sheetData>
    <x:row r="1">
      <x:c r="A1" s="37" t="str">
        <x:v>Rank</x:v>
      </x:c>
      <x:c r="B1" s="38" t="str">
        <x:v>Symbol</x:v>
      </x:c>
      <x:c r="C1" s="38" t="str">
        <x:v>Action</x:v>
      </x:c>
      <x:c r="D1" s="38" t="str">
        <x:v>Weight</x:v>
      </x:c>
      <x:c r="E1" s="38" t="str">
        <x:v>Score</x:v>
      </x:c>
      <x:c r="F1" s="38" t="str">
        <x:v>Relative strength 1m</x:v>
      </x:c>
      <x:c r="G1" s="38" t="str">
        <x:v>Relative strength 3m</x:v>
      </x:c>
      <x:c r="H1" s="38" t="str">
        <x:v>Relative strength 6m</x:v>
      </x:c>
      <x:c r="I1" s="38" t="str">
        <x:v>Relative strength 20d</x:v>
      </x:c>
      <x:c r="J1" s="38" t="str">
        <x:v>Trend score</x:v>
      </x:c>
      <x:c r="K1" s="38" t="str">
        <x:v>Volume change</x:v>
      </x:c>
      <x:c r="L1" s="38" t="str">
        <x:v>Volatility</x:v>
      </x:c>
      <x:c r="M1" s="39" t="str">
        <x:v>Realized return to 2026-06-22</x:v>
      </x:c>
    </x:row>
    <x:row r="2">
      <x:c r="A2" s="40" t="n">
        <x:v>1</x:v>
      </x:c>
      <x:c r="B2" s="32" t="str">
        <x:v>YEOTK.IS</x:v>
      </x:c>
      <x:c r="C2" s="32" t="str">
        <x:v>BUY</x:v>
      </x:c>
      <x:c r="D2" s="45" t="n">
        <x:f>1/COUNTA($B$2:$B$6)</x:f>
        <x:v>0.2</x:v>
      </x:c>
      <x:c r="E2" s="47" t="n">
        <x:v>0.8136904761904761</x:v>
      </x:c>
      <x:c r="F2" s="45" t="n">
        <x:v>1.0057150614197976</x:v>
      </x:c>
      <x:c r="G2" s="45" t="n">
        <x:v>1.85273527773216</x:v>
      </x:c>
      <x:c r="H2" s="45" t="n">
        <x:v>1.8465272297622133</x:v>
      </x:c>
      <x:c r="I2" s="45" t="n">
        <x:v>1.0636852357983861</x:v>
      </x:c>
      <x:c r="J2" s="49" t="n">
        <x:v>1</x:v>
      </x:c>
      <x:c r="K2" s="45" t="n">
        <x:v>0.5449366402670341</x:v>
      </x:c>
      <x:c r="L2" s="45" t="n">
        <x:v>0.04545903189748272</x:v>
      </x:c>
      <x:c r="M2" s="51" t="n">
        <x:v>-0.038290319990249455</x:v>
      </x:c>
    </x:row>
    <x:row r="3">
      <x:c r="A3" s="40" t="n">
        <x:v>2</x:v>
      </x:c>
      <x:c r="B3" s="32" t="str">
        <x:v>EUPWR.IS</x:v>
      </x:c>
      <x:c r="C3" s="32" t="str">
        <x:v>BUY</x:v>
      </x:c>
      <x:c r="D3" s="45" t="n">
        <x:f>1/COUNTA($B$2:$B$6)</x:f>
        <x:v>0.2</x:v>
      </x:c>
      <x:c r="E3" s="47" t="n">
        <x:v>0.7910714285714285</x:v>
      </x:c>
      <x:c r="F3" s="45" t="n">
        <x:v>0.5679906143475174</x:v>
      </x:c>
      <x:c r="G3" s="45" t="n">
        <x:v>1.1022091718496023</x:v>
      </x:c>
      <x:c r="H3" s="45" t="n">
        <x:v>1.404986264719751</x:v>
      </x:c>
      <x:c r="I3" s="45" t="n">
        <x:v>0.4748044022837071</x:v>
      </x:c>
      <x:c r="J3" s="49" t="n">
        <x:v>1</x:v>
      </x:c>
      <x:c r="K3" s="45" t="n">
        <x:v>0.44799811369206877</x:v>
      </x:c>
      <x:c r="L3" s="45" t="n">
        <x:v>0.04435897016370621</x:v>
      </x:c>
      <x:c r="M3" s="51" t="n">
        <x:v>0.30227886746647137</x:v>
      </x:c>
    </x:row>
    <x:row r="4">
      <x:c r="A4" s="40" t="n">
        <x:v>3</x:v>
      </x:c>
      <x:c r="B4" s="32" t="str">
        <x:v>GESAN.IS</x:v>
      </x:c>
      <x:c r="C4" s="32" t="str">
        <x:v>BUY</x:v>
      </x:c>
      <x:c r="D4" s="45" t="n">
        <x:f>1/COUNTA($B$2:$B$6)</x:f>
        <x:v>0.2</x:v>
      </x:c>
      <x:c r="E4" s="47" t="n">
        <x:v>0.7601190476190476</x:v>
      </x:c>
      <x:c r="F4" s="45" t="n">
        <x:v>0.5154573432943327</x:v>
      </x:c>
      <x:c r="G4" s="45" t="n">
        <x:v>0.5200044516193384</x:v>
      </x:c>
      <x:c r="H4" s="45" t="n">
        <x:v>0.39146435161461235</x:v>
      </x:c>
      <x:c r="I4" s="45" t="n">
        <x:v>0.4768431838098254</x:v>
      </x:c>
      <x:c r="J4" s="49" t="n">
        <x:v>1</x:v>
      </x:c>
      <x:c r="K4" s="45" t="n">
        <x:v>0.8145540482104718</x:v>
      </x:c>
      <x:c r="L4" s="45" t="n">
        <x:v>0.03779552967770784</x:v>
      </x:c>
      <x:c r="M4" s="51" t="n">
        <x:v>0.1626760993205325</x:v>
      </x:c>
    </x:row>
    <x:row r="5">
      <x:c r="A5" s="40" t="n">
        <x:v>4</x:v>
      </x:c>
      <x:c r="B5" s="32" t="str">
        <x:v>SMRTG.IS</x:v>
      </x:c>
      <x:c r="C5" s="32" t="str">
        <x:v>BUY</x:v>
      </x:c>
      <x:c r="D5" s="45" t="n">
        <x:f>1/COUNTA($B$2:$B$6)</x:f>
        <x:v>0.2</x:v>
      </x:c>
      <x:c r="E5" s="47" t="n">
        <x:v>0.7458333333333333</x:v>
      </x:c>
      <x:c r="F5" s="45" t="n">
        <x:v>0.67115464500117</x:v>
      </x:c>
      <x:c r="G5" s="45" t="n">
        <x:v>0.6368977701576851</x:v>
      </x:c>
      <x:c r="H5" s="45" t="n">
        <x:v>0.18500246120640762</x:v>
      </x:c>
      <x:c r="I5" s="45" t="n">
        <x:v>0.6265008064868028</x:v>
      </x:c>
      <x:c r="J5" s="49" t="n">
        <x:v>1</x:v>
      </x:c>
      <x:c r="K5" s="45" t="n">
        <x:v>1.017845256526762</x:v>
      </x:c>
      <x:c r="L5" s="45" t="n">
        <x:v>0.04167702972872948</x:v>
      </x:c>
      <x:c r="M5" s="51" t="n">
        <x:v>0.05823625479257033</x:v>
      </x:c>
    </x:row>
    <x:row r="6">
      <x:c r="A6" s="42" t="n">
        <x:v>5</x:v>
      </x:c>
      <x:c r="B6" s="43" t="str">
        <x:v>ASTOR.IS</x:v>
      </x:c>
      <x:c r="C6" s="43" t="str">
        <x:v>BUY</x:v>
      </x:c>
      <x:c r="D6" s="46" t="n">
        <x:f>1/COUNTA($B$2:$B$6)</x:f>
        <x:v>0.2</x:v>
      </x:c>
      <x:c r="E6" s="48" t="n">
        <x:v>0.731547619047619</x:v>
      </x:c>
      <x:c r="F6" s="46" t="n">
        <x:v>0.2943222603611343</x:v>
      </x:c>
      <x:c r="G6" s="46" t="n">
        <x:v>0.7990598913933568</x:v>
      </x:c>
      <x:c r="H6" s="46" t="n">
        <x:v>2.3905052824464716</x:v>
      </x:c>
      <x:c r="I6" s="46" t="n">
        <x:v>0.21487274508917642</x:v>
      </x:c>
      <x:c r="J6" s="50" t="n">
        <x:v>1</x:v>
      </x:c>
      <x:c r="K6" s="46" t="n">
        <x:v>-0.11231579838901895</x:v>
      </x:c>
      <x:c r="L6" s="46" t="n">
        <x:v>0.04227073361281647</x:v>
      </x:c>
      <x:c r="M6" s="52" t="n">
        <x:v>-0.05748865355521937</x:v>
      </x:c>
    </x:row>
    <x:row r="7">
      <x:c r="K7" s="53"/>
      <x:c r="L7" s="53"/>
      <x:c r="M7" s="53"/>
    </x:row>
    <x:row r="8">
      <x:c r="K8" s="53"/>
      <x:c r="L8" s="53" t="str">
        <x:v>Formula check</x:v>
      </x:c>
      <x:c r="M8" s="53" t="n">
        <x:f>SUMPRODUCT(D2:D6,M2:M6)-'Summary'!B9</x:f>
        <x:v>0.08308244960682108</x:v>
      </x:c>
    </x:row>
    <x:row r="9">
      <x:c r="K9" s="53"/>
      <x:c r="L9" s="53" t="str">
        <x:v>BIST100 same-window return</x:v>
      </x:c>
      <x:c r="M9" s="53" t="n">
        <x:v>0.07484677432227826</x:v>
      </x:c>
    </x:row>
    <x:row r="10">
      <x:c r="K10" s="53"/>
      <x:c r="L10" s="53" t="str">
        <x:v>Excess return</x:v>
      </x:c>
      <x:c r="M10" s="53" t="n">
        <x:f>M8-M9</x:f>
        <x:v>0.008235675284542818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16" hidden="0" customWidth="1"/>
  </x:cols>
  <x:sheetData>
    <x:row r="1">
      <x:c r="A1" s="57" t="str">
        <x:v>Policy</x:v>
      </x:c>
      <x:c r="B1" s="58" t="str">
        <x:v>Policy name</x:v>
      </x:c>
      <x:c r="C1" s="58" t="str">
        <x:v>Total return</x:v>
      </x:c>
      <x:c r="D1" s="58" t="str">
        <x:v>CAGR</x:v>
      </x:c>
      <x:c r="E1" s="58" t="str">
        <x:v>BIST100 CAGR</x:v>
      </x:c>
      <x:c r="F1" s="58" t="str">
        <x:v>Excess CAGR</x:v>
      </x:c>
      <x:c r="G1" s="58" t="str">
        <x:v>Max drawdown</x:v>
      </x:c>
      <x:c r="H1" s="58" t="str">
        <x:v>BIST100 max drawdown</x:v>
      </x:c>
      <x:c r="I1" s="58" t="str">
        <x:v>Win rate vs BIST100</x:v>
      </x:c>
      <x:c r="J1" s="59" t="str">
        <x:v>Cash months</x:v>
      </x:c>
    </x:row>
    <x:row r="2">
      <x:c r="A2" s="40" t="str">
        <x:v>BENCHMARK</x:v>
      </x:c>
      <x:c r="B2" s="32" t="str">
        <x:v>BIST100 benchmark</x:v>
      </x:c>
      <x:c r="C2" s="45" t="n">
        <x:v>1.7135159990929312</x:v>
      </x:c>
      <x:c r="D2" s="45" t="n">
        <x:v>0.3946904665827473</x:v>
      </x:c>
      <x:c r="E2" s="45" t="n">
        <x:v>0.3946904665827473</x:v>
      </x:c>
      <x:c r="F2" s="45" t="n">
        <x:v>0</x:v>
      </x:c>
      <x:c r="G2" s="45" t="n">
        <x:v>-0.1771699784619879</x:v>
      </x:c>
      <x:c r="H2" s="45" t="n">
        <x:v>-0.1771699784619879</x:v>
      </x:c>
      <x:c r="I2" s="45" t="n">
        <x:v>0</x:v>
      </x:c>
      <x:c r="J2" s="41" t="n">
        <x:v>0</x:v>
      </x:c>
    </x:row>
    <x:row r="3">
      <x:c r="A3" s="40" t="str">
        <x:v>OLD_TOP3</x:v>
      </x:c>
      <x:c r="B3" s="32" t="str">
        <x:v>Old absolute-score Top3</x:v>
      </x:c>
      <x:c r="C3" s="45" t="n">
        <x:v>2.3762026984501476</x:v>
      </x:c>
      <x:c r="D3" s="45" t="n">
        <x:v>0.5000393744712375</x:v>
      </x:c>
      <x:c r="E3" s="45" t="n">
        <x:v>0.3946904665827473</x:v>
      </x:c>
      <x:c r="F3" s="45" t="n">
        <x:v>0.10534890788849016</x:v>
      </x:c>
      <x:c r="G3" s="45" t="n">
        <x:v>-0.31617119451059594</x:v>
      </x:c>
      <x:c r="H3" s="45" t="n">
        <x:v>-0.1771699784619879</x:v>
      </x:c>
      <x:c r="I3" s="45" t="n">
        <x:v>0.5405405405405406</x:v>
      </x:c>
      <x:c r="J3" s="41" t="n">
        <x:v>8</x:v>
      </x:c>
    </x:row>
    <x:row r="4">
      <x:c r="A4" s="40" t="str">
        <x:v>RS_TOP10</x:v>
      </x:c>
      <x:c r="B4" s="32" t="str">
        <x:v>BIST100 relative-strength survival Top10</x:v>
      </x:c>
      <x:c r="C4" s="45" t="n">
        <x:v>3.8501521824514002</x:v>
      </x:c>
      <x:c r="D4" s="45" t="n">
        <x:v>0.6925167723134369</x:v>
      </x:c>
      <x:c r="E4" s="45" t="n">
        <x:v>0.3946904665827473</x:v>
      </x:c>
      <x:c r="F4" s="45" t="n">
        <x:v>0.2978263057306896</x:v>
      </x:c>
      <x:c r="G4" s="45" t="n">
        <x:v>-0.146909745568217</x:v>
      </x:c>
      <x:c r="H4" s="45" t="n">
        <x:v>-0.1771699784619879</x:v>
      </x:c>
      <x:c r="I4" s="45" t="n">
        <x:v>0.6216216216216216</x:v>
      </x:c>
      <x:c r="J4" s="41" t="n">
        <x:v>8</x:v>
      </x:c>
    </x:row>
    <x:row r="5">
      <x:c r="A5" s="40" t="str">
        <x:v>RS_TOP3</x:v>
      </x:c>
      <x:c r="B5" s="32" t="str">
        <x:v>BIST100 relative-strength survival Top3</x:v>
      </x:c>
      <x:c r="C5" s="45" t="n">
        <x:v>3.571373375459573</x:v>
      </x:c>
      <x:c r="D5" s="45" t="n">
        <x:v>0.6594546134014618</x:v>
      </x:c>
      <x:c r="E5" s="45" t="n">
        <x:v>0.3946904665827473</x:v>
      </x:c>
      <x:c r="F5" s="45" t="n">
        <x:v>0.2647641468187145</x:v>
      </x:c>
      <x:c r="G5" s="45" t="n">
        <x:v>-0.33304208531807233</x:v>
      </x:c>
      <x:c r="H5" s="45" t="n">
        <x:v>-0.1771699784619879</x:v>
      </x:c>
      <x:c r="I5" s="45" t="n">
        <x:v>0.5675675675675675</x:v>
      </x:c>
      <x:c r="J5" s="41" t="n">
        <x:v>8</x:v>
      </x:c>
    </x:row>
    <x:row r="6">
      <x:c r="A6" s="40" t="str">
        <x:v>RS_TOP5</x:v>
      </x:c>
      <x:c r="B6" s="32" t="str">
        <x:v>BIST100 relative-strength survival Top5</x:v>
      </x:c>
      <x:c r="C6" s="45" t="n">
        <x:v>3.2066026768841613</x:v>
      </x:c>
      <x:c r="D6" s="45" t="n">
        <x:v>0.6140973502890967</x:v>
      </x:c>
      <x:c r="E6" s="45" t="n">
        <x:v>0.3946904665827473</x:v>
      </x:c>
      <x:c r="F6" s="45" t="n">
        <x:v>0.21940688370634942</x:v>
      </x:c>
      <x:c r="G6" s="45" t="n">
        <x:v>-0.22506932128668844</x:v>
      </x:c>
      <x:c r="H6" s="45" t="n">
        <x:v>-0.1771699784619879</x:v>
      </x:c>
      <x:c r="I6" s="45" t="n">
        <x:v>0.5675675675675675</x:v>
      </x:c>
      <x:c r="J6" s="41" t="n">
        <x:v>8</x:v>
      </x:c>
    </x:row>
    <x:row r="7">
      <x:c r="A7" s="42" t="str">
        <x:v>RS_TOP5_NO_CASH</x:v>
      </x:c>
      <x:c r="B7" s="43" t="str">
        <x:v>Survival Top5 without MA200 cash filter</x:v>
      </x:c>
      <x:c r="C7" s="46" t="n">
        <x:v>6.1319995622290495</x:v>
      </x:c>
      <x:c r="D7" s="46" t="n">
        <x:v>0.9245929746739101</x:v>
      </x:c>
      <x:c r="E7" s="46" t="n">
        <x:v>0.3946904665827473</x:v>
      </x:c>
      <x:c r="F7" s="46" t="n">
        <x:v>0.5299025080911628</x:v>
      </x:c>
      <x:c r="G7" s="46" t="n">
        <x:v>-0.1880900845737401</x:v>
      </x:c>
      <x:c r="H7" s="46" t="n">
        <x:v>-0.1771699784619879</x:v>
      </x:c>
      <x:c r="I7" s="46" t="n">
        <x:v>0.6486486486486487</x:v>
      </x:c>
      <x:c r="J7" s="44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>
      <x:c r="A1" s="54" t="str">
        <x:v>Item</x:v>
      </x:c>
      <x:c r="B1" s="30" t="str">
        <x:v>Note</x:v>
      </x:c>
    </x:row>
    <x:row r="2">
      <x:c r="A2" s="31" t="str">
        <x:v>Selected winner</x:v>
      </x:c>
      <x:c r="B2" s="33" t="str">
        <x:v>RS_TOP5_NO_CASH was selected because it had the highest historical excess CAGR in the 3-year survival research run.</x:v>
      </x:c>
    </x:row>
    <x:row r="3">
      <x:c r="A3" s="31" t="str">
        <x:v>Risk caveat</x:v>
      </x:c>
      <x:c r="B3" s="33" t="str">
        <x:v>This policy removes the BIST100 MA200 cash filter; it is more aggressive than the stricter RS_TOP10 candidate.</x:v>
      </x:c>
    </x:row>
    <x:row r="4">
      <x:c r="A4" s="31" t="str">
        <x:v>No lookahead</x:v>
      </x:c>
      <x:c r="B4" s="33" t="str">
        <x:v>The recommendation list uses only signal/factor values available at the 2026-06-01 rebalance date.</x:v>
      </x:c>
    </x:row>
    <x:row r="5">
      <x:c r="A5" s="31" t="str">
        <x:v>Realized returns</x:v>
      </x:c>
      <x:c r="B5" s="33" t="str">
        <x:v>The realized return column is an after-the-fact check through 2026-06-22 and was not available on 2026-06-01.</x:v>
      </x:c>
    </x:row>
    <x:row r="6">
      <x:c r="A6" s="31" t="str">
        <x:v>Missing data</x:v>
      </x:c>
      <x:c r="B6" s="33" t="str">
        <x:v>Missing/no-valid-data tickers were excluded: IPEKE.IS, KOZAA.IS, KOZAL.IS.</x:v>
      </x:c>
    </x:row>
    <x:row r="7">
      <x:c r="A7" s="31" t="str">
        <x:v>No substitution</x:v>
      </x:c>
      <x:c r="B7" s="33" t="str">
        <x:v>The run did not replace missing tickers with unrelated tickers.</x:v>
      </x:c>
    </x:row>
    <x:row r="8">
      <x:c r="A8" s="31" t="str">
        <x:v>Data source</x:v>
      </x:c>
      <x:c r="B8" s="33" t="str">
        <x:v>Local cached CSV files in the repository data/ directory, originally fetched through Yahoo Finance symbols.</x:v>
      </x:c>
    </x:row>
    <x:row r="9">
      <x:c r="A9" s="34" t="str">
        <x:v>Trade status</x:v>
      </x:c>
      <x:c r="B9" s="36" t="str">
        <x:v>Research output only; the workbook does not place trades or call broker APIs.</x:v>
      </x:c>
    </x:row>
  </x:sheetData>
  <x:pageMargins left="0.7" right="0.7" top="0.75" bottom="0.75" header="0.3" footer="0.3"/>
</x:worksheet>
</file>